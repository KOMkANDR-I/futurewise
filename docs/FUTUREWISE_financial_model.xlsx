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C:\Users\komko\Documents\futurewise\futurewise\docs\"/>
    </mc:Choice>
  </mc:AlternateContent>
  <xr:revisionPtr revIDLastSave="0" documentId="13_ncr:1_{5FE15A5A-EC07-4A4C-9AC4-848848775CF9}" xr6:coauthVersionLast="45" xr6:coauthVersionMax="45" xr10:uidLastSave="{00000000-0000-0000-0000-000000000000}"/>
  <bookViews>
    <workbookView xWindow="0" yWindow="0" windowWidth="11520" windowHeight="12240" xr2:uid="{00000000-000D-0000-FFFF-FFFF00000000}"/>
  </bookViews>
  <sheets>
    <sheet name="Описание" sheetId="1" r:id="rId1"/>
    <sheet name="Допущения" sheetId="2" r:id="rId2"/>
    <sheet name="Рынок" sheetId="3" r:id="rId3"/>
    <sheet name="P&amp;L" sheetId="4" r:id="rId4"/>
    <sheet name="Эффект для банка" sheetId="5" r:id="rId5"/>
    <sheet name="Чувствительность" sheetId="6" r:id="rId6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6" l="1"/>
  <c r="E9" i="6"/>
  <c r="D9" i="6"/>
  <c r="C9" i="6"/>
  <c r="B9" i="6"/>
  <c r="F8" i="6"/>
  <c r="E8" i="6"/>
  <c r="D8" i="6"/>
  <c r="C8" i="6"/>
  <c r="B8" i="6"/>
  <c r="F7" i="6"/>
  <c r="E7" i="6"/>
  <c r="D7" i="6"/>
  <c r="C7" i="6"/>
  <c r="B7" i="6"/>
  <c r="F6" i="6"/>
  <c r="E6" i="6"/>
  <c r="D6" i="6"/>
  <c r="C6" i="6"/>
  <c r="B6" i="6"/>
  <c r="F5" i="6"/>
  <c r="E5" i="6"/>
  <c r="D5" i="6"/>
  <c r="C5" i="6"/>
  <c r="B5" i="6"/>
  <c r="B8" i="5"/>
  <c r="B5" i="5"/>
  <c r="B6" i="5" s="1"/>
  <c r="B7" i="5" s="1"/>
  <c r="B4" i="5"/>
  <c r="D11" i="4"/>
  <c r="C11" i="4"/>
  <c r="B11" i="4"/>
  <c r="D5" i="4"/>
  <c r="D7" i="4" s="1"/>
  <c r="C5" i="4"/>
  <c r="C7" i="4" s="1"/>
  <c r="B5" i="4"/>
  <c r="B7" i="4" s="1"/>
  <c r="D4" i="4"/>
  <c r="D6" i="4" s="1"/>
  <c r="C4" i="4"/>
  <c r="C6" i="4" s="1"/>
  <c r="B4" i="4"/>
  <c r="B6" i="4" s="1"/>
  <c r="B14" i="3"/>
  <c r="B13" i="3"/>
  <c r="B9" i="5" l="1"/>
  <c r="B12" i="4"/>
  <c r="B8" i="4"/>
  <c r="C8" i="4"/>
  <c r="C12" i="4"/>
  <c r="D12" i="4"/>
  <c r="D8" i="4"/>
  <c r="D13" i="4" l="1"/>
  <c r="D9" i="4"/>
  <c r="B15" i="3"/>
  <c r="B16" i="3" s="1"/>
  <c r="D14" i="4"/>
  <c r="D16" i="4" s="1"/>
  <c r="C13" i="4"/>
  <c r="C14" i="4" s="1"/>
  <c r="C16" i="4" s="1"/>
  <c r="C9" i="4"/>
  <c r="B9" i="4"/>
  <c r="B13" i="4"/>
  <c r="B14" i="4" s="1"/>
  <c r="B16" i="4"/>
  <c r="D18" i="4" l="1"/>
  <c r="D19" i="4" s="1"/>
  <c r="D17" i="4"/>
  <c r="C17" i="4"/>
  <c r="C18" i="4"/>
  <c r="C19" i="4" s="1"/>
  <c r="B18" i="4"/>
  <c r="B19" i="4" s="1"/>
  <c r="B20" i="4" s="1"/>
  <c r="B17" i="4"/>
  <c r="C20" i="4" l="1"/>
  <c r="D20" i="4"/>
</calcChain>
</file>

<file path=xl/sharedStrings.xml><?xml version="1.0" encoding="utf-8"?>
<sst xmlns="http://schemas.openxmlformats.org/spreadsheetml/2006/main" count="116" uniqueCount="106">
  <si>
    <t>FUTUREWISE — финансовая модель (B2B2C, white-label модуль для банков)</t>
  </si>
  <si>
    <t>Как устроена модель</t>
  </si>
  <si>
    <t>FUTUREWISE встраивается в мобильное приложение банка перед оформлением рассрочки, BNPL или кредита.</t>
  </si>
  <si>
    <t>Банк платит за разовую интеграцию и ежемесячно за каждого активного пользователя модуля.</t>
  </si>
  <si>
    <t>Листы</t>
  </si>
  <si>
    <t>Допущения — все входные параметры. Меняйте только их, остальное пересчитается.</t>
  </si>
  <si>
    <t>Рынок — TAM / SAM / SOM на опубликованных данных (источники указаны рядом с каждой цифрой).</t>
  </si>
  <si>
    <t>P&amp;L — выручка, расходы и результат по годам 2027–2029.</t>
  </si>
  <si>
    <t>Эффект для банка — сколько банк экономит на просрочке по сравнению с ценой лицензии.</t>
  </si>
  <si>
    <t>Чувствительность — выручка 3-го года при разной цене и доле использования.</t>
  </si>
  <si>
    <t>Обозначения</t>
  </si>
  <si>
    <t>Синий текст — вводимое значение. Жёлтая заливка — ключевое допущение. Чёрный — формула. Зелёный — ссылка на другой лист.</t>
  </si>
  <si>
    <t>Важно</t>
  </si>
  <si>
    <t>Рыночные цифры взяты из публичных источников. Цены, доли использования и затраты — допущения команды, а не факт:</t>
  </si>
  <si>
    <t>их нужно проверить пилотом с банком. Модель не является прогнозом.</t>
  </si>
  <si>
    <t>Допущения</t>
  </si>
  <si>
    <t>Параметр</t>
  </si>
  <si>
    <t>2027</t>
  </si>
  <si>
    <t>2028</t>
  </si>
  <si>
    <t>2029</t>
  </si>
  <si>
    <t>Комментарий / источник</t>
  </si>
  <si>
    <t>Банков-партнёров на конец года</t>
  </si>
  <si>
    <t>Допущение: пилот с одним банком, затем расширение</t>
  </si>
  <si>
    <t>MAU мобильного приложения одного банка, чел.</t>
  </si>
  <si>
    <t>Допущение: средний партнёр из топ-20 банков</t>
  </si>
  <si>
    <t>Доля MAU, открывающих краш-тест за месяц</t>
  </si>
  <si>
    <t>Допущение: проверить на пилоте</t>
  </si>
  <si>
    <t>Цена за активного пользователя в месяц, ₽</t>
  </si>
  <si>
    <t>Допущение: цена лицензии</t>
  </si>
  <si>
    <t>Разовая интеграция на нового банка, ₽</t>
  </si>
  <si>
    <t>Допущение: white-label + SDK + сопровождение запуска</t>
  </si>
  <si>
    <t>Команда (ФОТ с налогами), ₽ в год</t>
  </si>
  <si>
    <t>Допущение: 6 → 10 → 14 человек</t>
  </si>
  <si>
    <t>Инфраструктура на активного пользователя в месяц, ₽</t>
  </si>
  <si>
    <t>Допущение: расчёт идёт на устройстве, сервер только отдаёт приложение</t>
  </si>
  <si>
    <t>Продажи и маркетинг, % выручки</t>
  </si>
  <si>
    <t>Допущение: B2B-продажи в банки</t>
  </si>
  <si>
    <t>Налог на прибыль</t>
  </si>
  <si>
    <t>Ставка для аккредитованных ИТ-компаний с 2025 г. (НК РФ, ст. 284)</t>
  </si>
  <si>
    <t>Эффект для банка (допущения)</t>
  </si>
  <si>
    <t>Доля активных пользователей, принимающих крупное решение в месяц</t>
  </si>
  <si>
    <t>Допущение</t>
  </si>
  <si>
    <t>Доля из них, кто выбрал более безопасный вариант после теста</t>
  </si>
  <si>
    <t>Средний чек покупки частями, ₽</t>
  </si>
  <si>
    <t>Infoline-аналитика: 12 000 ₽ у активных пользователей (retail.ru / Т—Ж, 2025)</t>
  </si>
  <si>
    <t>Доля плохих долгов в BNPL</t>
  </si>
  <si>
    <t>Обзор Банка России за 2025 г. (РИА Новости, 01.06.2026)</t>
  </si>
  <si>
    <t>Оценка рынка (Россия)</t>
  </si>
  <si>
    <t>Показатель</t>
  </si>
  <si>
    <t>Значение</t>
  </si>
  <si>
    <t>Источник</t>
  </si>
  <si>
    <t>Заёмщиков — физлиц в БКИ, чел. (1 п/г 2025)</t>
  </si>
  <si>
    <t>Банк России, информационный материал о БКИ за 1 п/г 2025: cbr.ru/Collection/Collection/File/59477/inf-material_bki_2025fh.pdf</t>
  </si>
  <si>
    <t>Уникальных пользователей BNPL, чел. (янв.–сент. 2025)</t>
  </si>
  <si>
    <t>Т2 для «Ведомостей», 29.10.2025 (retail.ru)</t>
  </si>
  <si>
    <t>Ежемесячная аудитория BNPL, чел. (сент. 2025)</t>
  </si>
  <si>
    <t>Выдачи BNPL за 2025 г., ₽</t>
  </si>
  <si>
    <t>Обзор Банка России, рост +80% г/г (РИА Новости / investfuture.ru, 01.06.2026)</t>
  </si>
  <si>
    <t>Задолженность по BNPL, ₽</t>
  </si>
  <si>
    <t>Там же, +40% г/г</t>
  </si>
  <si>
    <t>Доля пользователей BNPL, у которых есть смысл проверять решение</t>
  </si>
  <si>
    <t>Допущение: регулярные покупки частями на заметные суммы</t>
  </si>
  <si>
    <t>Оценка, ₽ в год</t>
  </si>
  <si>
    <t>Как считается</t>
  </si>
  <si>
    <t>TAM — все заёмщики пользуются модулем</t>
  </si>
  <si>
    <t>Заёмщики × 12 мес. × цена за пользователя</t>
  </si>
  <si>
    <t>SAM — пользователи BNPL с регулярными покупками</t>
  </si>
  <si>
    <t>Пользователи BNPL × доля × 12 мес. × цена</t>
  </si>
  <si>
    <t>SOM — выручка FUTUREWISE в 2029 г.</t>
  </si>
  <si>
    <t>Из листа P&amp;L</t>
  </si>
  <si>
    <t>Доля SOM в SAM</t>
  </si>
  <si>
    <t>P&amp;L, ₽</t>
  </si>
  <si>
    <t>Статья</t>
  </si>
  <si>
    <t>Банков-партнёров</t>
  </si>
  <si>
    <t>Новых банков за год</t>
  </si>
  <si>
    <t>Активных пользователей в месяц</t>
  </si>
  <si>
    <t>Выручка: интеграции</t>
  </si>
  <si>
    <t>Выручка: всего</t>
  </si>
  <si>
    <t xml:space="preserve">  в т.ч. лицензии</t>
  </si>
  <si>
    <t>Расходы</t>
  </si>
  <si>
    <t>Команда</t>
  </si>
  <si>
    <t>Инфраструктура</t>
  </si>
  <si>
    <t>Продажи и маркетинг</t>
  </si>
  <si>
    <t>Расходы: всего</t>
  </si>
  <si>
    <t>EBITDA</t>
  </si>
  <si>
    <t>Рентабельность EBITDA</t>
  </si>
  <si>
    <t>Чистая прибыль</t>
  </si>
  <si>
    <t>Накопленный результат</t>
  </si>
  <si>
    <t>Безубыточность по EBITDA достигается в году, где EBITDA &gt; 0. Все значения пересчитываются из листа «Допущения».</t>
  </si>
  <si>
    <t>Эффект для одного банка-партнёра, ₽ в год (по допущениям 2028 г.)</t>
  </si>
  <si>
    <t>Активных пользователей модуля в месяц</t>
  </si>
  <si>
    <t>MAU × доля использования</t>
  </si>
  <si>
    <t>Решений, пересмотренных в пользу безопасного варианта, в год</t>
  </si>
  <si>
    <t>× доля решений × доля изменивших × 12</t>
  </si>
  <si>
    <t>Объём рискованного долга, который не возник, ₽</t>
  </si>
  <si>
    <t>× средний чек</t>
  </si>
  <si>
    <t>Сэкономленные потери по плохим долгам, ₽</t>
  </si>
  <si>
    <t>× доля плохих долгов</t>
  </si>
  <si>
    <t>Стоимость лицензии для банка, ₽</t>
  </si>
  <si>
    <t>активные пользователи × цена × 12</t>
  </si>
  <si>
    <t>Экономия на 1 ₽ лицензии</t>
  </si>
  <si>
    <t>Окупаемость только по потерям, без учёта лояльности и NPS</t>
  </si>
  <si>
    <t>Это иллюстрация на допущениях. Реальный эффект измеряется A/B-тестом на пилоте: просрочка у тех, кто прошёл краш-тест, против контрольной группы.</t>
  </si>
  <si>
    <t>Выручка от лицензий в 2029 г., млн ₽</t>
  </si>
  <si>
    <t>Строки — цена за пользователя в месяц, столбцы — доля MAU, открывающих краш-тест. Банков и MAU — из листа «Допущения» (2029).</t>
  </si>
  <si>
    <t>Цена, ₽ \ доля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</si>
</sst>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&quot;-&quot;"/>
    <numFmt numFmtId="165" formatCode="0.0%;\(0.0%\);&quot;-&quot;"/>
    <numFmt numFmtId="166" formatCode="#,##0\ &quot;₽&quot;;\(#,##0\ &quot;₽&quot;\);&quot;-&quot;"/>
    <numFmt numFmtId="167" formatCode="0.00&quot; ₽&quot;"/>
    <numFmt numFmtId="168" formatCode="#,##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sz val="11"/>
      <color rgb="FF0000FF"/>
      <name val="Arial"/>
    </font>
    <font>
      <sz val="11"/>
      <color rgb="FF008000"/>
      <name val="Arial"/>
    </font>
    <font>
      <i/>
      <sz val="11"/>
      <color rgb="FF595959"/>
      <name val="Arial"/>
    </font>
  </fonts>
  <fills count="4">
    <fill>
      <patternFill patternType="none"/>
    </fill>
    <fill>
      <patternFill patternType="gray125"/>
    </fill>
    <fill>
      <patternFill patternType="solid">
        <fgColor rgb="FF0A86E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164" fontId="5" fillId="0" borderId="0" xfId="0" applyNumberFormat="1" applyFont="1"/>
    <xf numFmtId="166" fontId="5" fillId="0" borderId="0" xfId="0" applyNumberFormat="1" applyFont="1"/>
    <xf numFmtId="165" fontId="5" fillId="3" borderId="0" xfId="0" applyNumberFormat="1" applyFont="1" applyFill="1"/>
    <xf numFmtId="166" fontId="2" fillId="0" borderId="0" xfId="0" applyNumberFormat="1" applyFont="1"/>
    <xf numFmtId="166" fontId="6" fillId="0" borderId="0" xfId="0" applyNumberFormat="1" applyFont="1"/>
    <xf numFmtId="165" fontId="2" fillId="0" borderId="0" xfId="0" applyNumberFormat="1" applyFont="1"/>
    <xf numFmtId="164" fontId="6" fillId="0" borderId="0" xfId="0" applyNumberFormat="1" applyFont="1"/>
    <xf numFmtId="164" fontId="2" fillId="0" borderId="0" xfId="0" applyNumberFormat="1" applyFont="1"/>
    <xf numFmtId="166" fontId="3" fillId="0" borderId="0" xfId="0" applyNumberFormat="1" applyFont="1"/>
    <xf numFmtId="0" fontId="7" fillId="0" borderId="0" xfId="0" applyFont="1"/>
    <xf numFmtId="167" fontId="3" fillId="0" borderId="0" xfId="0" applyNumberFormat="1" applyFont="1"/>
    <xf numFmtId="0" fontId="4" fillId="2" borderId="0" xfId="0" applyFont="1" applyFill="1"/>
    <xf numFmtId="9" fontId="4" fillId="2" borderId="0" xfId="0" applyNumberFormat="1" applyFont="1" applyFill="1"/>
    <xf numFmtId="168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showGridLines="0" tabSelected="1" workbookViewId="0"/>
  </sheetViews>
  <sheetFormatPr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/>
    </row>
    <row r="7" spans="1:1" x14ac:dyDescent="0.3">
      <c r="A7" s="3" t="s">
        <v>4</v>
      </c>
    </row>
    <row r="8" spans="1:1" x14ac:dyDescent="0.3">
      <c r="A8" s="2" t="s">
        <v>5</v>
      </c>
    </row>
    <row r="9" spans="1:1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x14ac:dyDescent="0.3">
      <c r="A13" s="2"/>
    </row>
    <row r="14" spans="1:1" x14ac:dyDescent="0.3">
      <c r="A14" s="3" t="s">
        <v>10</v>
      </c>
    </row>
    <row r="15" spans="1:1" x14ac:dyDescent="0.3">
      <c r="A15" s="2" t="s">
        <v>11</v>
      </c>
    </row>
    <row r="16" spans="1:1" x14ac:dyDescent="0.3">
      <c r="A16" s="2"/>
    </row>
    <row r="17" spans="1:1" x14ac:dyDescent="0.3">
      <c r="A17" s="3" t="s">
        <v>12</v>
      </c>
    </row>
    <row r="18" spans="1:1" x14ac:dyDescent="0.3">
      <c r="A18" s="2" t="s">
        <v>13</v>
      </c>
    </row>
    <row r="19" spans="1:1" x14ac:dyDescent="0.3">
      <c r="A19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2" customWidth="1"/>
    <col min="2" max="4" width="16" customWidth="1"/>
    <col min="5" max="5" width="60" customWidth="1"/>
  </cols>
  <sheetData>
    <row r="1" spans="1:5" ht="17.399999999999999" x14ac:dyDescent="0.3">
      <c r="A1" s="1" t="s">
        <v>15</v>
      </c>
    </row>
    <row r="3" spans="1:5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</row>
    <row r="4" spans="1:5" x14ac:dyDescent="0.3">
      <c r="A4" s="2" t="s">
        <v>21</v>
      </c>
      <c r="B4" s="5">
        <v>1</v>
      </c>
      <c r="C4" s="5">
        <v>3</v>
      </c>
      <c r="D4" s="5">
        <v>6</v>
      </c>
      <c r="E4" s="2" t="s">
        <v>22</v>
      </c>
    </row>
    <row r="5" spans="1:5" x14ac:dyDescent="0.3">
      <c r="A5" s="2" t="s">
        <v>23</v>
      </c>
      <c r="B5" s="5">
        <v>3000000</v>
      </c>
      <c r="C5" s="5">
        <v>3000000</v>
      </c>
      <c r="D5" s="5">
        <v>3000000</v>
      </c>
      <c r="E5" s="2" t="s">
        <v>24</v>
      </c>
    </row>
    <row r="6" spans="1:5" x14ac:dyDescent="0.3">
      <c r="A6" s="2" t="s">
        <v>25</v>
      </c>
      <c r="B6" s="6">
        <v>0.02</v>
      </c>
      <c r="C6" s="6">
        <v>0.03</v>
      </c>
      <c r="D6" s="6">
        <v>0.04</v>
      </c>
      <c r="E6" s="2" t="s">
        <v>26</v>
      </c>
    </row>
    <row r="7" spans="1:5" x14ac:dyDescent="0.3">
      <c r="A7" s="2" t="s">
        <v>27</v>
      </c>
      <c r="B7" s="7">
        <v>15</v>
      </c>
      <c r="C7" s="7">
        <v>15</v>
      </c>
      <c r="D7" s="7">
        <v>15</v>
      </c>
      <c r="E7" s="2" t="s">
        <v>28</v>
      </c>
    </row>
    <row r="8" spans="1:5" x14ac:dyDescent="0.3">
      <c r="A8" s="2" t="s">
        <v>29</v>
      </c>
      <c r="B8" s="8">
        <v>3000000</v>
      </c>
      <c r="C8" s="8">
        <v>3000000</v>
      </c>
      <c r="D8" s="8">
        <v>3000000</v>
      </c>
      <c r="E8" s="2" t="s">
        <v>30</v>
      </c>
    </row>
    <row r="9" spans="1:5" x14ac:dyDescent="0.3">
      <c r="A9" s="2" t="s">
        <v>31</v>
      </c>
      <c r="B9" s="8">
        <v>18000000</v>
      </c>
      <c r="C9" s="8">
        <v>30000000</v>
      </c>
      <c r="D9" s="8">
        <v>42000000</v>
      </c>
      <c r="E9" s="2" t="s">
        <v>32</v>
      </c>
    </row>
    <row r="10" spans="1:5" x14ac:dyDescent="0.3">
      <c r="A10" s="2" t="s">
        <v>33</v>
      </c>
      <c r="B10" s="8">
        <v>0.5</v>
      </c>
      <c r="C10" s="8">
        <v>0.5</v>
      </c>
      <c r="D10" s="8">
        <v>0.5</v>
      </c>
      <c r="E10" s="2" t="s">
        <v>34</v>
      </c>
    </row>
    <row r="11" spans="1:5" x14ac:dyDescent="0.3">
      <c r="A11" s="2" t="s">
        <v>35</v>
      </c>
      <c r="B11" s="9">
        <v>0.15</v>
      </c>
      <c r="C11" s="9">
        <v>0.15</v>
      </c>
      <c r="D11" s="9">
        <v>0.15</v>
      </c>
      <c r="E11" s="2" t="s">
        <v>36</v>
      </c>
    </row>
    <row r="12" spans="1:5" x14ac:dyDescent="0.3">
      <c r="A12" s="2" t="s">
        <v>37</v>
      </c>
      <c r="B12" s="9">
        <v>0.05</v>
      </c>
      <c r="C12" s="9">
        <v>0.05</v>
      </c>
      <c r="D12" s="9">
        <v>0.05</v>
      </c>
      <c r="E12" s="2" t="s">
        <v>38</v>
      </c>
    </row>
    <row r="15" spans="1:5" x14ac:dyDescent="0.3">
      <c r="A15" s="3" t="s">
        <v>39</v>
      </c>
    </row>
    <row r="16" spans="1:5" x14ac:dyDescent="0.3">
      <c r="A16" s="2" t="s">
        <v>40</v>
      </c>
      <c r="B16" s="6">
        <v>0.3</v>
      </c>
      <c r="E16" s="2" t="s">
        <v>41</v>
      </c>
    </row>
    <row r="17" spans="1:5" x14ac:dyDescent="0.3">
      <c r="A17" s="2" t="s">
        <v>42</v>
      </c>
      <c r="B17" s="6">
        <v>0.15</v>
      </c>
      <c r="E17" s="2" t="s">
        <v>26</v>
      </c>
    </row>
    <row r="18" spans="1:5" x14ac:dyDescent="0.3">
      <c r="A18" s="2" t="s">
        <v>43</v>
      </c>
      <c r="B18" s="8">
        <v>12000</v>
      </c>
      <c r="E18" s="2" t="s">
        <v>44</v>
      </c>
    </row>
    <row r="19" spans="1:5" x14ac:dyDescent="0.3">
      <c r="A19" s="2" t="s">
        <v>45</v>
      </c>
      <c r="B19" s="9">
        <v>3.4000000000000002E-2</v>
      </c>
      <c r="E19" s="2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showGridLines="0" workbookViewId="0"/>
  </sheetViews>
  <sheetFormatPr defaultRowHeight="14.4" x14ac:dyDescent="0.3"/>
  <cols>
    <col min="1" max="1" width="62" customWidth="1"/>
    <col min="2" max="2" width="20" customWidth="1"/>
    <col min="3" max="3" width="70" customWidth="1"/>
  </cols>
  <sheetData>
    <row r="1" spans="1:3" ht="17.399999999999999" x14ac:dyDescent="0.3">
      <c r="A1" s="1" t="s">
        <v>47</v>
      </c>
    </row>
    <row r="3" spans="1:3" x14ac:dyDescent="0.3">
      <c r="A3" s="4" t="s">
        <v>48</v>
      </c>
      <c r="B3" s="4" t="s">
        <v>49</v>
      </c>
      <c r="C3" s="4" t="s">
        <v>50</v>
      </c>
    </row>
    <row r="4" spans="1:3" x14ac:dyDescent="0.3">
      <c r="A4" s="2" t="s">
        <v>51</v>
      </c>
      <c r="B4" s="10">
        <v>49700000</v>
      </c>
      <c r="C4" s="2" t="s">
        <v>52</v>
      </c>
    </row>
    <row r="5" spans="1:3" x14ac:dyDescent="0.3">
      <c r="A5" s="2" t="s">
        <v>53</v>
      </c>
      <c r="B5" s="10">
        <v>36000000</v>
      </c>
      <c r="C5" s="2" t="s">
        <v>54</v>
      </c>
    </row>
    <row r="6" spans="1:3" x14ac:dyDescent="0.3">
      <c r="A6" s="2" t="s">
        <v>55</v>
      </c>
      <c r="B6" s="10">
        <v>3900000</v>
      </c>
      <c r="C6" s="2" t="s">
        <v>54</v>
      </c>
    </row>
    <row r="7" spans="1:3" x14ac:dyDescent="0.3">
      <c r="A7" s="2" t="s">
        <v>56</v>
      </c>
      <c r="B7" s="11">
        <v>500000000000</v>
      </c>
      <c r="C7" s="2" t="s">
        <v>57</v>
      </c>
    </row>
    <row r="8" spans="1:3" x14ac:dyDescent="0.3">
      <c r="A8" s="2" t="s">
        <v>58</v>
      </c>
      <c r="B8" s="11">
        <v>100000000000</v>
      </c>
      <c r="C8" s="2" t="s">
        <v>59</v>
      </c>
    </row>
    <row r="10" spans="1:3" x14ac:dyDescent="0.3">
      <c r="A10" s="2" t="s">
        <v>60</v>
      </c>
      <c r="B10" s="12">
        <v>0.25</v>
      </c>
      <c r="C10" s="2" t="s">
        <v>61</v>
      </c>
    </row>
    <row r="12" spans="1:3" x14ac:dyDescent="0.3">
      <c r="A12" s="4" t="s">
        <v>62</v>
      </c>
      <c r="B12" s="4" t="s">
        <v>49</v>
      </c>
      <c r="C12" s="4" t="s">
        <v>63</v>
      </c>
    </row>
    <row r="13" spans="1:3" x14ac:dyDescent="0.3">
      <c r="A13" s="2" t="s">
        <v>64</v>
      </c>
      <c r="B13" s="13">
        <f>B4*12*Допущения!$B$7</f>
        <v>8946000000</v>
      </c>
      <c r="C13" s="2" t="s">
        <v>65</v>
      </c>
    </row>
    <row r="14" spans="1:3" x14ac:dyDescent="0.3">
      <c r="A14" s="2" t="s">
        <v>66</v>
      </c>
      <c r="B14" s="13">
        <f>B5*B10*12*Допущения!$B$7</f>
        <v>1620000000</v>
      </c>
      <c r="C14" s="2" t="s">
        <v>67</v>
      </c>
    </row>
    <row r="15" spans="1:3" x14ac:dyDescent="0.3">
      <c r="A15" s="2" t="s">
        <v>68</v>
      </c>
      <c r="B15" s="14">
        <f>'P&amp;L'!D8</f>
        <v>138600000</v>
      </c>
      <c r="C15" s="2" t="s">
        <v>69</v>
      </c>
    </row>
    <row r="16" spans="1:3" x14ac:dyDescent="0.3">
      <c r="A16" s="2" t="s">
        <v>70</v>
      </c>
      <c r="B16" s="15">
        <f>IFERROR(B15/B14,0)</f>
        <v>8.5555555555555551E-2</v>
      </c>
      <c r="C1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8" customWidth="1"/>
    <col min="2" max="4" width="18" customWidth="1"/>
  </cols>
  <sheetData>
    <row r="1" spans="1:4" ht="17.399999999999999" x14ac:dyDescent="0.3">
      <c r="A1" s="1" t="s">
        <v>71</v>
      </c>
    </row>
    <row r="3" spans="1:4" x14ac:dyDescent="0.3">
      <c r="A3" s="4" t="s">
        <v>72</v>
      </c>
      <c r="B3" s="4" t="s">
        <v>17</v>
      </c>
      <c r="C3" s="4" t="s">
        <v>18</v>
      </c>
      <c r="D3" s="4" t="s">
        <v>19</v>
      </c>
    </row>
    <row r="4" spans="1:4" x14ac:dyDescent="0.3">
      <c r="A4" s="2" t="s">
        <v>73</v>
      </c>
      <c r="B4" s="16">
        <f>Допущения!$B$4</f>
        <v>1</v>
      </c>
      <c r="C4" s="16">
        <f>Допущения!$C$4</f>
        <v>3</v>
      </c>
      <c r="D4" s="16">
        <f>Допущения!$D$4</f>
        <v>6</v>
      </c>
    </row>
    <row r="5" spans="1:4" x14ac:dyDescent="0.3">
      <c r="A5" s="2" t="s">
        <v>74</v>
      </c>
      <c r="B5" s="17">
        <f>Допущения!$B$4</f>
        <v>1</v>
      </c>
      <c r="C5" s="17">
        <f>Допущения!$C$4-Допущения!$B$4</f>
        <v>2</v>
      </c>
      <c r="D5" s="17">
        <f>Допущения!$D$4-Допущения!$C$4</f>
        <v>3</v>
      </c>
    </row>
    <row r="6" spans="1:4" x14ac:dyDescent="0.3">
      <c r="A6" s="2" t="s">
        <v>75</v>
      </c>
      <c r="B6" s="17">
        <f>B4*Допущения!$B$5*Допущения!$B$6</f>
        <v>60000</v>
      </c>
      <c r="C6" s="17">
        <f>C4*Допущения!$C$5*Допущения!$C$6</f>
        <v>270000</v>
      </c>
      <c r="D6" s="17">
        <f>D4*Допущения!$D$5*Допущения!$D$6</f>
        <v>720000</v>
      </c>
    </row>
    <row r="7" spans="1:4" x14ac:dyDescent="0.3">
      <c r="A7" s="2" t="s">
        <v>76</v>
      </c>
      <c r="B7" s="13">
        <f>B5*Допущения!$B$8</f>
        <v>3000000</v>
      </c>
      <c r="C7" s="13">
        <f>C5*Допущения!$C$8</f>
        <v>6000000</v>
      </c>
      <c r="D7" s="13">
        <f>D5*Допущения!$D$8</f>
        <v>9000000</v>
      </c>
    </row>
    <row r="8" spans="1:4" x14ac:dyDescent="0.3">
      <c r="A8" s="3" t="s">
        <v>77</v>
      </c>
      <c r="B8" s="18">
        <f>B6*Допущения!$B$7*12+B7</f>
        <v>13800000</v>
      </c>
      <c r="C8" s="18">
        <f>C6*Допущения!$C$7*12+C7</f>
        <v>54600000</v>
      </c>
      <c r="D8" s="18">
        <f>D6*Допущения!$D$7*12+D7</f>
        <v>138600000</v>
      </c>
    </row>
    <row r="9" spans="1:4" x14ac:dyDescent="0.3">
      <c r="A9" s="2" t="s">
        <v>78</v>
      </c>
      <c r="B9" s="13">
        <f>B8-B7</f>
        <v>10800000</v>
      </c>
      <c r="C9" s="13">
        <f>C8-C7</f>
        <v>48600000</v>
      </c>
      <c r="D9" s="13">
        <f>D8-D7</f>
        <v>129600000</v>
      </c>
    </row>
    <row r="10" spans="1:4" x14ac:dyDescent="0.3">
      <c r="A10" s="3" t="s">
        <v>79</v>
      </c>
    </row>
    <row r="11" spans="1:4" x14ac:dyDescent="0.3">
      <c r="A11" s="2" t="s">
        <v>80</v>
      </c>
      <c r="B11" s="14">
        <f>Допущения!$B$9</f>
        <v>18000000</v>
      </c>
      <c r="C11" s="14">
        <f>Допущения!$C$9</f>
        <v>30000000</v>
      </c>
      <c r="D11" s="14">
        <f>Допущения!$D$9</f>
        <v>42000000</v>
      </c>
    </row>
    <row r="12" spans="1:4" x14ac:dyDescent="0.3">
      <c r="A12" s="2" t="s">
        <v>81</v>
      </c>
      <c r="B12" s="13">
        <f>B6*Допущения!$B$10*12</f>
        <v>360000</v>
      </c>
      <c r="C12" s="13">
        <f>C6*Допущения!$C$10*12</f>
        <v>1620000</v>
      </c>
      <c r="D12" s="13">
        <f>D6*Допущения!$D$10*12</f>
        <v>4320000</v>
      </c>
    </row>
    <row r="13" spans="1:4" x14ac:dyDescent="0.3">
      <c r="A13" s="2" t="s">
        <v>82</v>
      </c>
      <c r="B13" s="13">
        <f>B8*Допущения!$B$11</f>
        <v>2070000</v>
      </c>
      <c r="C13" s="13">
        <f>C8*Допущения!$C$11</f>
        <v>8190000</v>
      </c>
      <c r="D13" s="13">
        <f>D8*Допущения!$D$11</f>
        <v>20790000</v>
      </c>
    </row>
    <row r="14" spans="1:4" x14ac:dyDescent="0.3">
      <c r="A14" s="3" t="s">
        <v>83</v>
      </c>
      <c r="B14" s="18">
        <f>SUM(B11:B13)</f>
        <v>20430000</v>
      </c>
      <c r="C14" s="18">
        <f>SUM(C11:C13)</f>
        <v>39810000</v>
      </c>
      <c r="D14" s="18">
        <f>SUM(D11:D13)</f>
        <v>67110000</v>
      </c>
    </row>
    <row r="16" spans="1:4" x14ac:dyDescent="0.3">
      <c r="A16" s="3" t="s">
        <v>84</v>
      </c>
      <c r="B16" s="18">
        <f>B8-B14</f>
        <v>-6630000</v>
      </c>
      <c r="C16" s="18">
        <f>C8-C14</f>
        <v>14790000</v>
      </c>
      <c r="D16" s="18">
        <f>D8-D14</f>
        <v>71490000</v>
      </c>
    </row>
    <row r="17" spans="1:4" x14ac:dyDescent="0.3">
      <c r="A17" s="2" t="s">
        <v>85</v>
      </c>
      <c r="B17" s="15">
        <f>IFERROR(B16/B8,0)</f>
        <v>-0.48043478260869565</v>
      </c>
      <c r="C17" s="15">
        <f>IFERROR(C16/C8,0)</f>
        <v>0.27087912087912086</v>
      </c>
      <c r="D17" s="15">
        <f>IFERROR(D16/D8,0)</f>
        <v>0.51580086580086582</v>
      </c>
    </row>
    <row r="18" spans="1:4" x14ac:dyDescent="0.3">
      <c r="A18" s="2" t="s">
        <v>37</v>
      </c>
      <c r="B18" s="13">
        <f>MAX(0,B16)*Допущения!$B$12</f>
        <v>0</v>
      </c>
      <c r="C18" s="13">
        <f>MAX(0,C16)*Допущения!$C$12</f>
        <v>739500</v>
      </c>
      <c r="D18" s="13">
        <f>MAX(0,D16)*Допущения!$D$12</f>
        <v>3574500</v>
      </c>
    </row>
    <row r="19" spans="1:4" x14ac:dyDescent="0.3">
      <c r="A19" s="3" t="s">
        <v>86</v>
      </c>
      <c r="B19" s="18">
        <f>B16-B18</f>
        <v>-6630000</v>
      </c>
      <c r="C19" s="18">
        <f>C16-C18</f>
        <v>14050500</v>
      </c>
      <c r="D19" s="18">
        <f>D16-D18</f>
        <v>67915500</v>
      </c>
    </row>
    <row r="20" spans="1:4" x14ac:dyDescent="0.3">
      <c r="A20" s="2" t="s">
        <v>87</v>
      </c>
      <c r="B20" s="13">
        <f>B19</f>
        <v>-6630000</v>
      </c>
      <c r="C20" s="13">
        <f>B20+C19</f>
        <v>7420500</v>
      </c>
      <c r="D20" s="13">
        <f>C20+D19</f>
        <v>75336000</v>
      </c>
    </row>
    <row r="22" spans="1:4" x14ac:dyDescent="0.3">
      <c r="A22" s="19" t="s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/>
  </sheetViews>
  <sheetFormatPr defaultRowHeight="14.4" x14ac:dyDescent="0.3"/>
  <cols>
    <col min="1" max="1" width="60" customWidth="1"/>
    <col min="2" max="2" width="20" customWidth="1"/>
    <col min="3" max="3" width="60" customWidth="1"/>
  </cols>
  <sheetData>
    <row r="1" spans="1:3" ht="17.399999999999999" x14ac:dyDescent="0.3">
      <c r="A1" s="1" t="s">
        <v>89</v>
      </c>
    </row>
    <row r="3" spans="1:3" x14ac:dyDescent="0.3">
      <c r="A3" s="4" t="s">
        <v>48</v>
      </c>
      <c r="B3" s="4" t="s">
        <v>49</v>
      </c>
      <c r="C3" s="4" t="s">
        <v>63</v>
      </c>
    </row>
    <row r="4" spans="1:3" x14ac:dyDescent="0.3">
      <c r="A4" s="2" t="s">
        <v>90</v>
      </c>
      <c r="B4" s="17">
        <f>Допущения!$C$5*Допущения!$C$6</f>
        <v>90000</v>
      </c>
      <c r="C4" s="2" t="s">
        <v>91</v>
      </c>
    </row>
    <row r="5" spans="1:3" x14ac:dyDescent="0.3">
      <c r="A5" s="2" t="s">
        <v>92</v>
      </c>
      <c r="B5" s="17">
        <f>B4*Допущения!$B$16*Допущения!$B$17*12</f>
        <v>48600</v>
      </c>
      <c r="C5" s="2" t="s">
        <v>93</v>
      </c>
    </row>
    <row r="6" spans="1:3" x14ac:dyDescent="0.3">
      <c r="A6" s="2" t="s">
        <v>94</v>
      </c>
      <c r="B6" s="13">
        <f>B5*Допущения!$B$18</f>
        <v>583200000</v>
      </c>
      <c r="C6" s="2" t="s">
        <v>95</v>
      </c>
    </row>
    <row r="7" spans="1:3" x14ac:dyDescent="0.3">
      <c r="A7" s="2" t="s">
        <v>96</v>
      </c>
      <c r="B7" s="13">
        <f>B6*Допущения!$B$19</f>
        <v>19828800</v>
      </c>
      <c r="C7" s="2" t="s">
        <v>97</v>
      </c>
    </row>
    <row r="8" spans="1:3" x14ac:dyDescent="0.3">
      <c r="A8" s="2" t="s">
        <v>98</v>
      </c>
      <c r="B8" s="13">
        <f>B4*Допущения!$C$7*12</f>
        <v>16200000</v>
      </c>
      <c r="C8" s="2" t="s">
        <v>99</v>
      </c>
    </row>
    <row r="9" spans="1:3" x14ac:dyDescent="0.3">
      <c r="A9" s="2" t="s">
        <v>100</v>
      </c>
      <c r="B9" s="20">
        <f>IFERROR(B7/B8,0)</f>
        <v>1.224</v>
      </c>
      <c r="C9" s="2" t="s">
        <v>101</v>
      </c>
    </row>
    <row r="11" spans="1:3" x14ac:dyDescent="0.3">
      <c r="A11" s="19" t="s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/>
  </sheetViews>
  <sheetFormatPr defaultRowHeight="14.4" x14ac:dyDescent="0.3"/>
  <cols>
    <col min="1" max="1" width="34" customWidth="1"/>
    <col min="2" max="6" width="14" customWidth="1"/>
  </cols>
  <sheetData>
    <row r="1" spans="1:6" ht="17.399999999999999" x14ac:dyDescent="0.3">
      <c r="A1" s="1" t="s">
        <v>103</v>
      </c>
    </row>
    <row r="2" spans="1:6" x14ac:dyDescent="0.3">
      <c r="A2" s="19" t="s">
        <v>104</v>
      </c>
    </row>
    <row r="4" spans="1:6" x14ac:dyDescent="0.3">
      <c r="A4" s="21" t="s">
        <v>105</v>
      </c>
      <c r="B4" s="22">
        <v>0.01</v>
      </c>
      <c r="C4" s="22">
        <v>0.02</v>
      </c>
      <c r="D4" s="22">
        <v>0.03</v>
      </c>
      <c r="E4" s="22">
        <v>0.04</v>
      </c>
      <c r="F4" s="22">
        <v>0.06</v>
      </c>
    </row>
    <row r="5" spans="1:6" x14ac:dyDescent="0.3">
      <c r="A5" s="11">
        <v>5</v>
      </c>
      <c r="B5" s="23">
        <f>Допущения!$D$4*Допущения!$D$5*B$4*$A5*12/1000000</f>
        <v>10.8</v>
      </c>
      <c r="C5" s="23">
        <f>Допущения!$D$4*Допущения!$D$5*C$4*$A5*12/1000000</f>
        <v>21.6</v>
      </c>
      <c r="D5" s="23">
        <f>Допущения!$D$4*Допущения!$D$5*D$4*$A5*12/1000000</f>
        <v>32.4</v>
      </c>
      <c r="E5" s="23">
        <f>Допущения!$D$4*Допущения!$D$5*E$4*$A5*12/1000000</f>
        <v>43.2</v>
      </c>
      <c r="F5" s="23">
        <f>Допущения!$D$4*Допущения!$D$5*F$4*$A5*12/1000000</f>
        <v>64.8</v>
      </c>
    </row>
    <row r="6" spans="1:6" x14ac:dyDescent="0.3">
      <c r="A6" s="11">
        <v>10</v>
      </c>
      <c r="B6" s="23">
        <f>Допущения!$D$4*Допущения!$D$5*B$4*$A6*12/1000000</f>
        <v>21.6</v>
      </c>
      <c r="C6" s="23">
        <f>Допущения!$D$4*Допущения!$D$5*C$4*$A6*12/1000000</f>
        <v>43.2</v>
      </c>
      <c r="D6" s="23">
        <f>Допущения!$D$4*Допущения!$D$5*D$4*$A6*12/1000000</f>
        <v>64.8</v>
      </c>
      <c r="E6" s="23">
        <f>Допущения!$D$4*Допущения!$D$5*E$4*$A6*12/1000000</f>
        <v>86.4</v>
      </c>
      <c r="F6" s="23">
        <f>Допущения!$D$4*Допущения!$D$5*F$4*$A6*12/1000000</f>
        <v>129.6</v>
      </c>
    </row>
    <row r="7" spans="1:6" x14ac:dyDescent="0.3">
      <c r="A7" s="11">
        <v>15</v>
      </c>
      <c r="B7" s="23">
        <f>Допущения!$D$4*Допущения!$D$5*B$4*$A7*12/1000000</f>
        <v>32.4</v>
      </c>
      <c r="C7" s="23">
        <f>Допущения!$D$4*Допущения!$D$5*C$4*$A7*12/1000000</f>
        <v>64.8</v>
      </c>
      <c r="D7" s="23">
        <f>Допущения!$D$4*Допущения!$D$5*D$4*$A7*12/1000000</f>
        <v>97.2</v>
      </c>
      <c r="E7" s="23">
        <f>Допущения!$D$4*Допущения!$D$5*E$4*$A7*12/1000000</f>
        <v>129.6</v>
      </c>
      <c r="F7" s="23">
        <f>Допущения!$D$4*Допущения!$D$5*F$4*$A7*12/1000000</f>
        <v>194.4</v>
      </c>
    </row>
    <row r="8" spans="1:6" x14ac:dyDescent="0.3">
      <c r="A8" s="11">
        <v>20</v>
      </c>
      <c r="B8" s="23">
        <f>Допущения!$D$4*Допущения!$D$5*B$4*$A8*12/1000000</f>
        <v>43.2</v>
      </c>
      <c r="C8" s="23">
        <f>Допущения!$D$4*Допущения!$D$5*C$4*$A8*12/1000000</f>
        <v>86.4</v>
      </c>
      <c r="D8" s="23">
        <f>Допущения!$D$4*Допущения!$D$5*D$4*$A8*12/1000000</f>
        <v>129.6</v>
      </c>
      <c r="E8" s="23">
        <f>Допущения!$D$4*Допущения!$D$5*E$4*$A8*12/1000000</f>
        <v>172.8</v>
      </c>
      <c r="F8" s="23">
        <f>Допущения!$D$4*Допущения!$D$5*F$4*$A8*12/1000000</f>
        <v>259.2</v>
      </c>
    </row>
    <row r="9" spans="1:6" x14ac:dyDescent="0.3">
      <c r="A9" s="11">
        <v>30</v>
      </c>
      <c r="B9" s="23">
        <f>Допущения!$D$4*Допущения!$D$5*B$4*$A9*12/1000000</f>
        <v>64.8</v>
      </c>
      <c r="C9" s="23">
        <f>Допущения!$D$4*Допущения!$D$5*C$4*$A9*12/1000000</f>
        <v>129.6</v>
      </c>
      <c r="D9" s="23">
        <f>Допущения!$D$4*Допущения!$D$5*D$4*$A9*12/1000000</f>
        <v>194.4</v>
      </c>
      <c r="E9" s="23">
        <f>Допущения!$D$4*Допущения!$D$5*E$4*$A9*12/1000000</f>
        <v>259.2</v>
      </c>
      <c r="F9" s="23">
        <f>Допущения!$D$4*Допущения!$D$5*F$4*$A9*12/1000000</f>
        <v>388.8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Описание</vt:lpstr>
      <vt:lpstr>Допущения</vt:lpstr>
      <vt:lpstr>Рынок</vt:lpstr>
      <vt:lpstr>P&amp;L</vt:lpstr>
      <vt:lpstr>Эффект для банка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 Комков</cp:lastModifiedBy>
  <dcterms:created xsi:type="dcterms:W3CDTF">2026-10-29T07:18:55Z</dcterms:created>
  <dcterms:modified xsi:type="dcterms:W3CDTF">2026-10-29T07:19:02Z</dcterms:modified>
</cp:coreProperties>
</file>